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y\论文：flood+dem\出图\cal_landcover\"/>
    </mc:Choice>
  </mc:AlternateContent>
  <xr:revisionPtr revIDLastSave="0" documentId="13_ncr:1_{2F061776-208C-491A-A246-0CBC349A3815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3" i="1" l="1"/>
  <c r="M44" i="1"/>
  <c r="M45" i="1"/>
  <c r="M46" i="1"/>
  <c r="M47" i="1"/>
  <c r="M48" i="1"/>
  <c r="M42" i="1"/>
  <c r="K31" i="1"/>
  <c r="K33" i="1"/>
  <c r="K44" i="1" s="1"/>
  <c r="K34" i="1"/>
  <c r="K45" i="1" s="1"/>
  <c r="K35" i="1"/>
  <c r="K46" i="1"/>
  <c r="K42" i="1"/>
  <c r="I15" i="1"/>
  <c r="H15" i="1"/>
  <c r="G15" i="1"/>
  <c r="F15" i="1"/>
  <c r="E15" i="1"/>
  <c r="D15" i="1"/>
  <c r="C15" i="1"/>
  <c r="B15" i="1"/>
  <c r="G45" i="1"/>
  <c r="E45" i="1"/>
  <c r="D45" i="1"/>
  <c r="J38" i="1"/>
  <c r="J48" i="1" s="1"/>
  <c r="K38" i="1"/>
  <c r="K48" i="1" s="1"/>
  <c r="L38" i="1"/>
  <c r="L48" i="1" s="1"/>
  <c r="E37" i="1"/>
  <c r="D36" i="1"/>
  <c r="D47" i="1" s="1"/>
  <c r="L36" i="1"/>
  <c r="L47" i="1" s="1"/>
  <c r="G35" i="1"/>
  <c r="G46" i="1" s="1"/>
  <c r="J35" i="1"/>
  <c r="J46" i="1" s="1"/>
  <c r="I34" i="1"/>
  <c r="I45" i="1" s="1"/>
  <c r="J34" i="1"/>
  <c r="J45" i="1" s="1"/>
  <c r="C33" i="1"/>
  <c r="C44" i="1" s="1"/>
  <c r="G32" i="1"/>
  <c r="G43" i="1" s="1"/>
  <c r="J32" i="1"/>
  <c r="J43" i="1" s="1"/>
  <c r="F31" i="1"/>
  <c r="F42" i="1" s="1"/>
  <c r="G31" i="1"/>
  <c r="G42" i="1" s="1"/>
  <c r="H31" i="1"/>
  <c r="H42" i="1" s="1"/>
  <c r="I31" i="1"/>
  <c r="I42" i="1" s="1"/>
  <c r="L26" i="1"/>
  <c r="L32" i="1" s="1"/>
  <c r="L43" i="1" s="1"/>
  <c r="K26" i="1"/>
  <c r="K36" i="1" s="1"/>
  <c r="K47" i="1" s="1"/>
  <c r="J26" i="1"/>
  <c r="J36" i="1" s="1"/>
  <c r="J47" i="1" s="1"/>
  <c r="I26" i="1"/>
  <c r="I32" i="1" s="1"/>
  <c r="I43" i="1" s="1"/>
  <c r="H26" i="1"/>
  <c r="H32" i="1" s="1"/>
  <c r="H43" i="1" s="1"/>
  <c r="G26" i="1"/>
  <c r="G34" i="1" s="1"/>
  <c r="F26" i="1"/>
  <c r="F34" i="1" s="1"/>
  <c r="F45" i="1" s="1"/>
  <c r="E26" i="1"/>
  <c r="E34" i="1" s="1"/>
  <c r="D26" i="1"/>
  <c r="D34" i="1" s="1"/>
  <c r="C26" i="1"/>
  <c r="C31" i="1" s="1"/>
  <c r="C42" i="1" s="1"/>
  <c r="B26" i="1"/>
  <c r="B35" i="1" s="1"/>
  <c r="B46" i="1" s="1"/>
  <c r="J3" i="1"/>
  <c r="J4" i="1"/>
  <c r="J5" i="1"/>
  <c r="J6" i="1"/>
  <c r="J7" i="1"/>
  <c r="J8" i="1"/>
  <c r="J9" i="1"/>
  <c r="J10" i="1"/>
  <c r="J11" i="1"/>
  <c r="J12" i="1"/>
  <c r="J2" i="1"/>
  <c r="C36" i="1" l="1"/>
  <c r="C47" i="1" s="1"/>
  <c r="L37" i="1"/>
  <c r="B36" i="1"/>
  <c r="B47" i="1" s="1"/>
  <c r="K37" i="1"/>
  <c r="B37" i="1"/>
  <c r="J37" i="1"/>
  <c r="B38" i="1"/>
  <c r="B48" i="1" s="1"/>
  <c r="I37" i="1"/>
  <c r="J31" i="1"/>
  <c r="J42" i="1" s="1"/>
  <c r="H37" i="1"/>
  <c r="G37" i="1"/>
  <c r="F37" i="1"/>
  <c r="H34" i="1"/>
  <c r="H45" i="1" s="1"/>
  <c r="C34" i="1"/>
  <c r="C45" i="1" s="1"/>
  <c r="L35" i="1"/>
  <c r="L46" i="1" s="1"/>
  <c r="K32" i="1"/>
  <c r="K43" i="1" s="1"/>
  <c r="I35" i="1"/>
  <c r="I46" i="1" s="1"/>
  <c r="H35" i="1"/>
  <c r="H46" i="1" s="1"/>
  <c r="D37" i="1"/>
  <c r="C37" i="1"/>
  <c r="F32" i="1"/>
  <c r="F43" i="1" s="1"/>
  <c r="F35" i="1"/>
  <c r="F46" i="1" s="1"/>
  <c r="E32" i="1"/>
  <c r="E43" i="1" s="1"/>
  <c r="E35" i="1"/>
  <c r="E46" i="1" s="1"/>
  <c r="D32" i="1"/>
  <c r="D43" i="1" s="1"/>
  <c r="D35" i="1"/>
  <c r="D46" i="1" s="1"/>
  <c r="C32" i="1"/>
  <c r="C43" i="1" s="1"/>
  <c r="C35" i="1"/>
  <c r="C46" i="1" s="1"/>
  <c r="I38" i="1"/>
  <c r="I48" i="1" s="1"/>
  <c r="H38" i="1"/>
  <c r="H48" i="1" s="1"/>
  <c r="J33" i="1"/>
  <c r="J44" i="1" s="1"/>
  <c r="G38" i="1"/>
  <c r="G48" i="1" s="1"/>
  <c r="I33" i="1"/>
  <c r="I44" i="1" s="1"/>
  <c r="F38" i="1"/>
  <c r="F48" i="1" s="1"/>
  <c r="B31" i="1"/>
  <c r="B42" i="1" s="1"/>
  <c r="H33" i="1"/>
  <c r="H44" i="1" s="1"/>
  <c r="I36" i="1"/>
  <c r="I47" i="1" s="1"/>
  <c r="E38" i="1"/>
  <c r="E48" i="1" s="1"/>
  <c r="B32" i="1"/>
  <c r="B43" i="1" s="1"/>
  <c r="G33" i="1"/>
  <c r="G44" i="1" s="1"/>
  <c r="H36" i="1"/>
  <c r="H47" i="1" s="1"/>
  <c r="D38" i="1"/>
  <c r="D48" i="1" s="1"/>
  <c r="B33" i="1"/>
  <c r="B44" i="1" s="1"/>
  <c r="F33" i="1"/>
  <c r="F44" i="1" s="1"/>
  <c r="G36" i="1"/>
  <c r="G47" i="1" s="1"/>
  <c r="C38" i="1"/>
  <c r="C48" i="1" s="1"/>
  <c r="B34" i="1"/>
  <c r="B45" i="1" s="1"/>
  <c r="E33" i="1"/>
  <c r="E44" i="1" s="1"/>
  <c r="F36" i="1"/>
  <c r="F47" i="1" s="1"/>
  <c r="D33" i="1"/>
  <c r="D44" i="1" s="1"/>
  <c r="E36" i="1"/>
  <c r="E47" i="1" s="1"/>
  <c r="L31" i="1"/>
  <c r="L42" i="1" s="1"/>
  <c r="L33" i="1"/>
  <c r="L44" i="1" s="1"/>
  <c r="L34" i="1"/>
  <c r="L45" i="1" s="1"/>
  <c r="E31" i="1"/>
  <c r="E42" i="1" s="1"/>
  <c r="D31" i="1"/>
  <c r="D42" i="1" s="1"/>
</calcChain>
</file>

<file path=xl/sharedStrings.xml><?xml version="1.0" encoding="utf-8"?>
<sst xmlns="http://schemas.openxmlformats.org/spreadsheetml/2006/main" count="82" uniqueCount="21">
  <si>
    <t>District</t>
  </si>
  <si>
    <t>Qinhuai</t>
  </si>
  <si>
    <t>Jianye</t>
  </si>
  <si>
    <t>Xuanwu</t>
  </si>
  <si>
    <t>Gulou</t>
  </si>
  <si>
    <t>Jiangning</t>
  </si>
  <si>
    <t>Luhe</t>
  </si>
  <si>
    <t>Qixia</t>
  </si>
  <si>
    <t>Yuhuatai</t>
  </si>
  <si>
    <t>Pukou</t>
  </si>
  <si>
    <t>Lishui</t>
  </si>
  <si>
    <t>Gaochun</t>
  </si>
  <si>
    <t>Tree cover</t>
  </si>
  <si>
    <t>Shrubland</t>
  </si>
  <si>
    <t>Grassland</t>
  </si>
  <si>
    <t>Cropland</t>
  </si>
  <si>
    <t>Built-up</t>
  </si>
  <si>
    <t>Bare / sparse vegetation</t>
  </si>
  <si>
    <t>Permanent water bodies</t>
  </si>
  <si>
    <t>Herbaceous wetland</t>
  </si>
  <si>
    <t>sum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</si>
</sst>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topLeftCell="A4" zoomScale="95" workbookViewId="0">
      <selection activeCell="A30" sqref="A30:L38"/>
    </sheetView>
  </sheetViews>
  <sheetFormatPr defaultColWidth="13.7265625" defaultRowHeight="14.5" customHeight="1" x14ac:dyDescent="0.25"/>
  <cols>
    <col min="1" max="1" width="17.453125" style="2" customWidth="1"/>
    <col min="2" max="6" width="14.36328125" style="2" customWidth="1"/>
    <col min="7" max="7" width="24" style="2" customWidth="1"/>
    <col min="8" max="9" width="29.6328125" style="2" customWidth="1"/>
    <col min="10" max="10" width="21.81640625" style="2" customWidth="1"/>
    <col min="11" max="16384" width="13.7265625" style="2"/>
  </cols>
  <sheetData>
    <row r="1" spans="1:10" ht="14.5" customHeight="1" x14ac:dyDescent="0.2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2" t="s">
        <v>20</v>
      </c>
    </row>
    <row r="2" spans="1:10" ht="14.5" customHeight="1" x14ac:dyDescent="0.25">
      <c r="A2" s="2" t="s">
        <v>1</v>
      </c>
      <c r="B2" s="2">
        <v>45</v>
      </c>
      <c r="C2" s="2">
        <v>1</v>
      </c>
      <c r="D2" s="2">
        <v>10</v>
      </c>
      <c r="E2" s="2">
        <v>86</v>
      </c>
      <c r="F2" s="2">
        <v>1892</v>
      </c>
      <c r="G2" s="2">
        <v>1144</v>
      </c>
      <c r="H2" s="2">
        <v>3188</v>
      </c>
      <c r="I2" s="2">
        <v>0</v>
      </c>
      <c r="J2" s="2">
        <f>B2+C2+D2+E2+F2+G2+H2+I2</f>
        <v>6366</v>
      </c>
    </row>
    <row r="3" spans="1:10" ht="14.5" customHeight="1" x14ac:dyDescent="0.25">
      <c r="A3" s="2" t="s">
        <v>2</v>
      </c>
      <c r="B3" s="2">
        <v>100</v>
      </c>
      <c r="C3" s="2">
        <v>12</v>
      </c>
      <c r="D3" s="2">
        <v>218</v>
      </c>
      <c r="E3" s="2">
        <v>1175</v>
      </c>
      <c r="F3" s="2">
        <v>2651</v>
      </c>
      <c r="G3" s="2">
        <v>1453</v>
      </c>
      <c r="H3" s="2">
        <v>7475</v>
      </c>
      <c r="I3" s="2">
        <v>8</v>
      </c>
      <c r="J3" s="2">
        <f t="shared" ref="J3:J12" si="0">B3+C3+D3+E3+F3+G3+H3+I3</f>
        <v>13092</v>
      </c>
    </row>
    <row r="4" spans="1:10" ht="14.5" customHeight="1" x14ac:dyDescent="0.25">
      <c r="A4" s="2" t="s">
        <v>3</v>
      </c>
      <c r="B4" s="2">
        <v>862</v>
      </c>
      <c r="C4" s="2">
        <v>67</v>
      </c>
      <c r="D4" s="2">
        <v>3242</v>
      </c>
      <c r="E4" s="2">
        <v>566</v>
      </c>
      <c r="F4" s="2">
        <v>1861</v>
      </c>
      <c r="G4" s="2">
        <v>1597</v>
      </c>
      <c r="H4" s="2">
        <v>1937</v>
      </c>
      <c r="I4" s="2">
        <v>634</v>
      </c>
      <c r="J4" s="2">
        <f t="shared" si="0"/>
        <v>10766</v>
      </c>
    </row>
    <row r="5" spans="1:10" ht="14.5" customHeight="1" x14ac:dyDescent="0.25">
      <c r="A5" s="2" t="s">
        <v>4</v>
      </c>
      <c r="B5" s="2">
        <v>413</v>
      </c>
      <c r="C5" s="2">
        <v>0</v>
      </c>
      <c r="D5" s="2">
        <v>133</v>
      </c>
      <c r="E5" s="2">
        <v>190</v>
      </c>
      <c r="F5" s="2">
        <v>1928</v>
      </c>
      <c r="G5" s="2">
        <v>693</v>
      </c>
      <c r="H5" s="2">
        <v>4104</v>
      </c>
      <c r="I5" s="2">
        <v>1</v>
      </c>
      <c r="J5" s="2">
        <f t="shared" si="0"/>
        <v>7462</v>
      </c>
    </row>
    <row r="6" spans="1:10" ht="14.5" customHeight="1" x14ac:dyDescent="0.25">
      <c r="A6" s="2" t="s">
        <v>5</v>
      </c>
      <c r="B6" s="2">
        <v>36563</v>
      </c>
      <c r="C6" s="2">
        <v>103</v>
      </c>
      <c r="D6" s="2">
        <v>26636</v>
      </c>
      <c r="E6" s="2">
        <v>253181</v>
      </c>
      <c r="F6" s="2">
        <v>124970</v>
      </c>
      <c r="G6" s="2">
        <v>245028</v>
      </c>
      <c r="H6" s="2">
        <v>42023</v>
      </c>
      <c r="I6" s="2">
        <v>2019</v>
      </c>
      <c r="J6" s="2">
        <f t="shared" si="0"/>
        <v>730523</v>
      </c>
    </row>
    <row r="7" spans="1:10" ht="14.5" customHeight="1" x14ac:dyDescent="0.25">
      <c r="A7" s="2" t="s">
        <v>6</v>
      </c>
      <c r="B7" s="2">
        <v>14642</v>
      </c>
      <c r="C7" s="2">
        <v>330</v>
      </c>
      <c r="D7" s="2">
        <v>18171</v>
      </c>
      <c r="E7" s="2">
        <v>614127</v>
      </c>
      <c r="F7" s="2">
        <v>47407</v>
      </c>
      <c r="G7" s="2">
        <v>158442</v>
      </c>
      <c r="H7" s="2">
        <v>56403</v>
      </c>
      <c r="I7" s="2">
        <v>3780</v>
      </c>
      <c r="J7" s="2">
        <f t="shared" si="0"/>
        <v>913302</v>
      </c>
    </row>
    <row r="8" spans="1:10" ht="14.5" customHeight="1" x14ac:dyDescent="0.25">
      <c r="A8" s="2" t="s">
        <v>7</v>
      </c>
      <c r="B8" s="2">
        <v>3473</v>
      </c>
      <c r="C8" s="2">
        <v>48</v>
      </c>
      <c r="D8" s="2">
        <v>3520</v>
      </c>
      <c r="E8" s="2">
        <v>35526</v>
      </c>
      <c r="F8" s="2">
        <v>53152</v>
      </c>
      <c r="G8" s="2">
        <v>36507</v>
      </c>
      <c r="H8" s="2">
        <v>26278</v>
      </c>
      <c r="I8" s="2">
        <v>128</v>
      </c>
      <c r="J8" s="2">
        <f t="shared" si="0"/>
        <v>158632</v>
      </c>
    </row>
    <row r="9" spans="1:10" ht="14.5" customHeight="1" x14ac:dyDescent="0.25">
      <c r="A9" s="2" t="s">
        <v>8</v>
      </c>
      <c r="B9" s="2">
        <v>1477</v>
      </c>
      <c r="C9" s="2">
        <v>4</v>
      </c>
      <c r="D9" s="2">
        <v>592</v>
      </c>
      <c r="E9" s="2">
        <v>1754</v>
      </c>
      <c r="F9" s="2">
        <v>6146</v>
      </c>
      <c r="G9" s="2">
        <v>8064</v>
      </c>
      <c r="H9" s="2">
        <v>10155</v>
      </c>
      <c r="I9" s="2">
        <v>28</v>
      </c>
      <c r="J9" s="2">
        <f t="shared" si="0"/>
        <v>28220</v>
      </c>
    </row>
    <row r="10" spans="1:10" ht="14.5" customHeight="1" x14ac:dyDescent="0.25">
      <c r="A10" s="2" t="s">
        <v>9</v>
      </c>
      <c r="B10" s="2">
        <v>19501</v>
      </c>
      <c r="C10" s="2">
        <v>124</v>
      </c>
      <c r="D10" s="2">
        <v>6527</v>
      </c>
      <c r="E10" s="2">
        <v>103139</v>
      </c>
      <c r="F10" s="2">
        <v>34009</v>
      </c>
      <c r="G10" s="2">
        <v>91612</v>
      </c>
      <c r="H10" s="2">
        <v>28210</v>
      </c>
      <c r="I10" s="2">
        <v>1756</v>
      </c>
      <c r="J10" s="2">
        <f t="shared" si="0"/>
        <v>284878</v>
      </c>
    </row>
    <row r="11" spans="1:10" ht="14.5" customHeight="1" x14ac:dyDescent="0.25">
      <c r="A11" s="2" t="s">
        <v>10</v>
      </c>
      <c r="B11" s="2">
        <v>16601</v>
      </c>
      <c r="C11" s="2">
        <v>37</v>
      </c>
      <c r="D11" s="2">
        <v>13696</v>
      </c>
      <c r="E11" s="2">
        <v>201856</v>
      </c>
      <c r="F11" s="2">
        <v>44663</v>
      </c>
      <c r="G11" s="2">
        <v>217586</v>
      </c>
      <c r="H11" s="2">
        <v>21253</v>
      </c>
      <c r="I11" s="2">
        <v>992</v>
      </c>
      <c r="J11" s="2">
        <f t="shared" si="0"/>
        <v>516684</v>
      </c>
    </row>
    <row r="12" spans="1:10" ht="14.5" customHeight="1" x14ac:dyDescent="0.25">
      <c r="A12" s="2" t="s">
        <v>11</v>
      </c>
      <c r="B12" s="2">
        <v>4944</v>
      </c>
      <c r="C12" s="2">
        <v>142</v>
      </c>
      <c r="D12" s="2">
        <v>4845</v>
      </c>
      <c r="E12" s="2">
        <v>700519</v>
      </c>
      <c r="F12" s="2">
        <v>26572</v>
      </c>
      <c r="G12" s="2">
        <v>394584</v>
      </c>
      <c r="H12" s="2">
        <v>110741</v>
      </c>
      <c r="I12" s="2">
        <v>6640</v>
      </c>
      <c r="J12" s="2">
        <f t="shared" si="0"/>
        <v>1248987</v>
      </c>
    </row>
    <row r="14" spans="1:10" ht="14.5" customHeight="1" x14ac:dyDescent="0.25">
      <c r="B14" s="2">
        <v>98621</v>
      </c>
      <c r="C14" s="2">
        <v>868</v>
      </c>
      <c r="D14" s="2">
        <v>77590</v>
      </c>
      <c r="E14" s="2">
        <v>1912119</v>
      </c>
      <c r="F14" s="2">
        <v>345251</v>
      </c>
      <c r="G14" s="2">
        <v>1156710</v>
      </c>
      <c r="H14" s="2">
        <v>311767</v>
      </c>
      <c r="I14" s="2">
        <v>15986</v>
      </c>
      <c r="J14" s="2">
        <v>3918912</v>
      </c>
    </row>
    <row r="15" spans="1:10" ht="14.5" customHeight="1" x14ac:dyDescent="0.25">
      <c r="B15" s="2">
        <f>B14/J14</f>
        <v>2.5165403050642628E-2</v>
      </c>
      <c r="C15" s="2">
        <f>C14/J14</f>
        <v>2.2149004621690917E-4</v>
      </c>
      <c r="D15" s="2">
        <f>D14/J14</f>
        <v>1.9798862541440074E-2</v>
      </c>
      <c r="E15" s="2">
        <f>E14/J14</f>
        <v>0.48792088212238499</v>
      </c>
      <c r="F15" s="2">
        <f>F14/J14</f>
        <v>8.8098686574232851E-2</v>
      </c>
      <c r="G15" s="2">
        <f>G14/J14</f>
        <v>0.29516100387046201</v>
      </c>
      <c r="H15" s="2">
        <f>H14/J14</f>
        <v>7.9554478385837707E-2</v>
      </c>
      <c r="I15" s="2">
        <f>I14/J14</f>
        <v>4.0791934087828462E-3</v>
      </c>
    </row>
    <row r="17" spans="1:13" ht="14.5" customHeight="1" x14ac:dyDescent="0.25">
      <c r="A17" s="1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</row>
    <row r="18" spans="1:13" ht="14.5" customHeight="1" x14ac:dyDescent="0.25">
      <c r="A18" s="1" t="s">
        <v>12</v>
      </c>
      <c r="B18" s="2">
        <v>45</v>
      </c>
      <c r="C18" s="2">
        <v>100</v>
      </c>
      <c r="D18" s="2">
        <v>862</v>
      </c>
      <c r="E18" s="2">
        <v>413</v>
      </c>
      <c r="F18" s="2">
        <v>36563</v>
      </c>
      <c r="G18" s="2">
        <v>14642</v>
      </c>
      <c r="H18" s="2">
        <v>3473</v>
      </c>
      <c r="I18" s="2">
        <v>1477</v>
      </c>
      <c r="J18" s="2">
        <v>19501</v>
      </c>
      <c r="K18" s="2">
        <v>16601</v>
      </c>
      <c r="L18" s="2">
        <v>4944</v>
      </c>
    </row>
    <row r="19" spans="1:13" ht="14.5" customHeight="1" x14ac:dyDescent="0.25">
      <c r="A19" s="1" t="s">
        <v>13</v>
      </c>
      <c r="B19" s="2">
        <v>1</v>
      </c>
      <c r="C19" s="2">
        <v>12</v>
      </c>
      <c r="D19" s="2">
        <v>67</v>
      </c>
      <c r="E19" s="2">
        <v>0</v>
      </c>
      <c r="F19" s="2">
        <v>103</v>
      </c>
      <c r="G19" s="2">
        <v>330</v>
      </c>
      <c r="H19" s="2">
        <v>48</v>
      </c>
      <c r="I19" s="2">
        <v>4</v>
      </c>
      <c r="J19" s="2">
        <v>124</v>
      </c>
      <c r="K19" s="2">
        <v>37</v>
      </c>
      <c r="L19" s="2">
        <v>142</v>
      </c>
    </row>
    <row r="20" spans="1:13" ht="14.5" customHeight="1" x14ac:dyDescent="0.25">
      <c r="A20" s="1" t="s">
        <v>14</v>
      </c>
      <c r="B20" s="2">
        <v>10</v>
      </c>
      <c r="C20" s="2">
        <v>218</v>
      </c>
      <c r="D20" s="2">
        <v>3242</v>
      </c>
      <c r="E20" s="2">
        <v>133</v>
      </c>
      <c r="F20" s="2">
        <v>26636</v>
      </c>
      <c r="G20" s="2">
        <v>18171</v>
      </c>
      <c r="H20" s="2">
        <v>3520</v>
      </c>
      <c r="I20" s="2">
        <v>592</v>
      </c>
      <c r="J20" s="2">
        <v>6527</v>
      </c>
      <c r="K20" s="2">
        <v>13696</v>
      </c>
      <c r="L20" s="2">
        <v>4845</v>
      </c>
    </row>
    <row r="21" spans="1:13" ht="14.5" customHeight="1" x14ac:dyDescent="0.25">
      <c r="A21" s="1" t="s">
        <v>15</v>
      </c>
      <c r="B21" s="2">
        <v>86</v>
      </c>
      <c r="C21" s="2">
        <v>1175</v>
      </c>
      <c r="D21" s="2">
        <v>566</v>
      </c>
      <c r="E21" s="2">
        <v>190</v>
      </c>
      <c r="F21" s="2">
        <v>253181</v>
      </c>
      <c r="G21" s="2">
        <v>614127</v>
      </c>
      <c r="H21" s="2">
        <v>35526</v>
      </c>
      <c r="I21" s="2">
        <v>1754</v>
      </c>
      <c r="J21" s="2">
        <v>103139</v>
      </c>
      <c r="K21" s="2">
        <v>201856</v>
      </c>
      <c r="L21" s="2">
        <v>700519</v>
      </c>
    </row>
    <row r="22" spans="1:13" ht="14.5" customHeight="1" x14ac:dyDescent="0.25">
      <c r="A22" s="1" t="s">
        <v>16</v>
      </c>
      <c r="B22" s="2">
        <v>1892</v>
      </c>
      <c r="C22" s="2">
        <v>2651</v>
      </c>
      <c r="D22" s="2">
        <v>1861</v>
      </c>
      <c r="E22" s="2">
        <v>1928</v>
      </c>
      <c r="F22" s="2">
        <v>124970</v>
      </c>
      <c r="G22" s="2">
        <v>47407</v>
      </c>
      <c r="H22" s="2">
        <v>53152</v>
      </c>
      <c r="I22" s="2">
        <v>6146</v>
      </c>
      <c r="J22" s="2">
        <v>34009</v>
      </c>
      <c r="K22" s="2">
        <v>44663</v>
      </c>
      <c r="L22" s="2">
        <v>26572</v>
      </c>
    </row>
    <row r="23" spans="1:13" ht="14.5" customHeight="1" x14ac:dyDescent="0.25">
      <c r="A23" s="1" t="s">
        <v>17</v>
      </c>
      <c r="B23" s="2">
        <v>1144</v>
      </c>
      <c r="C23" s="2">
        <v>1453</v>
      </c>
      <c r="D23" s="2">
        <v>1597</v>
      </c>
      <c r="E23" s="2">
        <v>693</v>
      </c>
      <c r="F23" s="2">
        <v>245028</v>
      </c>
      <c r="G23" s="2">
        <v>158442</v>
      </c>
      <c r="H23" s="2">
        <v>36507</v>
      </c>
      <c r="I23" s="2">
        <v>8064</v>
      </c>
      <c r="J23" s="2">
        <v>91612</v>
      </c>
      <c r="K23" s="2">
        <v>217586</v>
      </c>
      <c r="L23" s="2">
        <v>394584</v>
      </c>
    </row>
    <row r="24" spans="1:13" ht="14.5" customHeight="1" x14ac:dyDescent="0.25">
      <c r="A24" s="1" t="s">
        <v>18</v>
      </c>
      <c r="B24" s="2">
        <v>3188</v>
      </c>
      <c r="C24" s="2">
        <v>7475</v>
      </c>
      <c r="D24" s="2">
        <v>1937</v>
      </c>
      <c r="E24" s="2">
        <v>4104</v>
      </c>
      <c r="F24" s="2">
        <v>42023</v>
      </c>
      <c r="G24" s="2">
        <v>56403</v>
      </c>
      <c r="H24" s="2">
        <v>26278</v>
      </c>
      <c r="I24" s="2">
        <v>10155</v>
      </c>
      <c r="J24" s="2">
        <v>28210</v>
      </c>
      <c r="K24" s="2">
        <v>21253</v>
      </c>
      <c r="L24" s="2">
        <v>110741</v>
      </c>
    </row>
    <row r="25" spans="1:13" ht="14.5" customHeight="1" x14ac:dyDescent="0.25">
      <c r="A25" s="1" t="s">
        <v>19</v>
      </c>
      <c r="B25" s="2">
        <v>0</v>
      </c>
      <c r="C25" s="2">
        <v>8</v>
      </c>
      <c r="D25" s="2">
        <v>634</v>
      </c>
      <c r="E25" s="2">
        <v>1</v>
      </c>
      <c r="F25" s="2">
        <v>2019</v>
      </c>
      <c r="G25" s="2">
        <v>3780</v>
      </c>
      <c r="H25" s="2">
        <v>128</v>
      </c>
      <c r="I25" s="2">
        <v>28</v>
      </c>
      <c r="J25" s="2">
        <v>1756</v>
      </c>
      <c r="K25" s="2">
        <v>992</v>
      </c>
      <c r="L25" s="2">
        <v>6640</v>
      </c>
    </row>
    <row r="26" spans="1:13" ht="14.5" customHeight="1" x14ac:dyDescent="0.25">
      <c r="A26" s="2" t="s">
        <v>20</v>
      </c>
      <c r="B26" s="2">
        <f t="shared" ref="B26:L26" si="1">B18+B19+B20+B21+B22+B23+B24+B25</f>
        <v>6366</v>
      </c>
      <c r="C26" s="2">
        <f t="shared" si="1"/>
        <v>13092</v>
      </c>
      <c r="D26" s="2">
        <f t="shared" si="1"/>
        <v>10766</v>
      </c>
      <c r="E26" s="2">
        <f t="shared" si="1"/>
        <v>7462</v>
      </c>
      <c r="F26" s="2">
        <f t="shared" si="1"/>
        <v>730523</v>
      </c>
      <c r="G26" s="2">
        <f t="shared" si="1"/>
        <v>913302</v>
      </c>
      <c r="H26" s="2">
        <f t="shared" si="1"/>
        <v>158632</v>
      </c>
      <c r="I26" s="2">
        <f t="shared" si="1"/>
        <v>28220</v>
      </c>
      <c r="J26" s="2">
        <f t="shared" si="1"/>
        <v>284878</v>
      </c>
      <c r="K26" s="2">
        <f t="shared" si="1"/>
        <v>516684</v>
      </c>
      <c r="L26" s="2">
        <f t="shared" si="1"/>
        <v>1248987</v>
      </c>
    </row>
    <row r="30" spans="1:13" ht="14.5" customHeight="1" x14ac:dyDescent="0.25">
      <c r="A30" s="1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  <c r="J30" s="2" t="s">
        <v>9</v>
      </c>
      <c r="K30" s="2" t="s">
        <v>10</v>
      </c>
      <c r="L30" s="2" t="s">
        <v>11</v>
      </c>
    </row>
    <row r="31" spans="1:13" ht="14.5" customHeight="1" x14ac:dyDescent="0.25">
      <c r="A31" s="1" t="s">
        <v>12</v>
      </c>
      <c r="B31" s="3">
        <f t="shared" ref="B31:L31" si="2">B18/B26</f>
        <v>7.0688030160226201E-3</v>
      </c>
      <c r="C31" s="3">
        <f t="shared" si="2"/>
        <v>7.6382523678582342E-3</v>
      </c>
      <c r="D31" s="3">
        <f t="shared" si="2"/>
        <v>8.0066877206018947E-2</v>
      </c>
      <c r="E31" s="3">
        <f t="shared" si="2"/>
        <v>5.5347091932457786E-2</v>
      </c>
      <c r="F31" s="3">
        <f t="shared" si="2"/>
        <v>5.0050443312530883E-2</v>
      </c>
      <c r="G31" s="3">
        <f t="shared" si="2"/>
        <v>1.6031936862067532E-2</v>
      </c>
      <c r="H31" s="3">
        <f t="shared" si="2"/>
        <v>2.1893438902617378E-2</v>
      </c>
      <c r="I31" s="3">
        <f t="shared" si="2"/>
        <v>5.233876683203402E-2</v>
      </c>
      <c r="J31" s="3">
        <f t="shared" si="2"/>
        <v>6.8453864461278158E-2</v>
      </c>
      <c r="K31" s="3">
        <f t="shared" si="2"/>
        <v>3.2129889835953891E-2</v>
      </c>
      <c r="L31" s="3">
        <f t="shared" si="2"/>
        <v>3.958407893757101E-3</v>
      </c>
      <c r="M31" s="2">
        <v>2.5165403050642628E-2</v>
      </c>
    </row>
    <row r="32" spans="1:13" ht="14.5" customHeight="1" x14ac:dyDescent="0.25">
      <c r="A32" s="1" t="s">
        <v>13</v>
      </c>
      <c r="B32" s="3">
        <f t="shared" ref="B32:L32" si="3">B19/B26</f>
        <v>1.5708451146716933E-4</v>
      </c>
      <c r="C32" s="3">
        <f t="shared" si="3"/>
        <v>9.1659028414298811E-4</v>
      </c>
      <c r="D32" s="3">
        <f t="shared" si="3"/>
        <v>6.2232955600966004E-3</v>
      </c>
      <c r="E32" s="3">
        <f t="shared" si="3"/>
        <v>0</v>
      </c>
      <c r="F32" s="3">
        <f t="shared" si="3"/>
        <v>1.4099487627357386E-4</v>
      </c>
      <c r="G32" s="3">
        <f t="shared" si="3"/>
        <v>3.6132626447768647E-4</v>
      </c>
      <c r="H32" s="3">
        <f t="shared" si="3"/>
        <v>3.0258711987493067E-4</v>
      </c>
      <c r="I32" s="3">
        <f t="shared" si="3"/>
        <v>1.4174344436569808E-4</v>
      </c>
      <c r="J32" s="3">
        <f t="shared" si="3"/>
        <v>4.3527404713596698E-4</v>
      </c>
      <c r="K32" s="3">
        <f t="shared" si="3"/>
        <v>7.161050080900512E-5</v>
      </c>
      <c r="L32" s="3">
        <f t="shared" si="3"/>
        <v>1.136921361071012E-4</v>
      </c>
      <c r="M32" s="2">
        <v>2.2149004621690917E-4</v>
      </c>
    </row>
    <row r="33" spans="1:13" ht="14.5" customHeight="1" x14ac:dyDescent="0.25">
      <c r="A33" s="1" t="s">
        <v>14</v>
      </c>
      <c r="B33" s="3">
        <f t="shared" ref="B33:L33" si="4">B20/B26</f>
        <v>1.5708451146716933E-3</v>
      </c>
      <c r="C33" s="3">
        <f t="shared" si="4"/>
        <v>1.665139016193095E-2</v>
      </c>
      <c r="D33" s="3">
        <f t="shared" si="4"/>
        <v>0.30113319710198772</v>
      </c>
      <c r="E33" s="3">
        <f t="shared" si="4"/>
        <v>1.7823639774859287E-2</v>
      </c>
      <c r="F33" s="3">
        <f t="shared" si="4"/>
        <v>3.6461548780804987E-2</v>
      </c>
      <c r="G33" s="3">
        <f t="shared" si="4"/>
        <v>1.9895938035830427E-2</v>
      </c>
      <c r="H33" s="3">
        <f t="shared" si="4"/>
        <v>2.2189722124161582E-2</v>
      </c>
      <c r="I33" s="3">
        <f t="shared" si="4"/>
        <v>2.0978029766123316E-2</v>
      </c>
      <c r="J33" s="3">
        <f t="shared" si="4"/>
        <v>2.2911562142390776E-2</v>
      </c>
      <c r="K33" s="3">
        <f t="shared" si="4"/>
        <v>2.6507497812976597E-2</v>
      </c>
      <c r="L33" s="3">
        <f t="shared" si="4"/>
        <v>3.87914365802046E-3</v>
      </c>
      <c r="M33" s="2">
        <v>1.9798862541440074E-2</v>
      </c>
    </row>
    <row r="34" spans="1:13" ht="14.5" customHeight="1" x14ac:dyDescent="0.25">
      <c r="A34" s="1" t="s">
        <v>15</v>
      </c>
      <c r="B34" s="3">
        <f t="shared" ref="B34:L34" si="5">B21/B26</f>
        <v>1.3509267986176562E-2</v>
      </c>
      <c r="C34" s="3">
        <f t="shared" si="5"/>
        <v>8.9749465322334243E-2</v>
      </c>
      <c r="D34" s="3">
        <f t="shared" si="5"/>
        <v>5.2572914731562323E-2</v>
      </c>
      <c r="E34" s="3">
        <f t="shared" si="5"/>
        <v>2.5462342535513268E-2</v>
      </c>
      <c r="F34" s="3">
        <f t="shared" si="5"/>
        <v>0.346574988056502</v>
      </c>
      <c r="G34" s="3">
        <f t="shared" si="5"/>
        <v>0.672424893408752</v>
      </c>
      <c r="H34" s="3">
        <f t="shared" si="5"/>
        <v>0.22395229209743306</v>
      </c>
      <c r="I34" s="3">
        <f t="shared" si="5"/>
        <v>6.2154500354358613E-2</v>
      </c>
      <c r="J34" s="3">
        <f t="shared" si="5"/>
        <v>0.36204620925448788</v>
      </c>
      <c r="K34" s="3">
        <f t="shared" si="5"/>
        <v>0.39067592571087939</v>
      </c>
      <c r="L34" s="3">
        <f t="shared" si="5"/>
        <v>0.56086972882824238</v>
      </c>
      <c r="M34" s="2">
        <v>0.48792088212238499</v>
      </c>
    </row>
    <row r="35" spans="1:13" ht="14.5" customHeight="1" x14ac:dyDescent="0.25">
      <c r="A35" s="1" t="s">
        <v>16</v>
      </c>
      <c r="B35" s="3">
        <f t="shared" ref="B35:L35" si="6">B22/B26</f>
        <v>0.2972038956958844</v>
      </c>
      <c r="C35" s="3">
        <f t="shared" si="6"/>
        <v>0.20249007027192178</v>
      </c>
      <c r="D35" s="3">
        <f t="shared" si="6"/>
        <v>0.17285900055731004</v>
      </c>
      <c r="E35" s="3">
        <f t="shared" si="6"/>
        <v>0.2583757705708925</v>
      </c>
      <c r="F35" s="3">
        <f t="shared" si="6"/>
        <v>0.17106922027095656</v>
      </c>
      <c r="G35" s="3">
        <f t="shared" si="6"/>
        <v>5.19072552124051E-2</v>
      </c>
      <c r="H35" s="3">
        <f t="shared" si="6"/>
        <v>0.33506480407483991</v>
      </c>
      <c r="I35" s="3">
        <f t="shared" si="6"/>
        <v>0.2177888022678951</v>
      </c>
      <c r="J35" s="3">
        <f t="shared" si="6"/>
        <v>0.1193809279761863</v>
      </c>
      <c r="K35" s="3">
        <f t="shared" si="6"/>
        <v>8.6441616152232309E-2</v>
      </c>
      <c r="L35" s="3">
        <f t="shared" si="6"/>
        <v>2.1274841131252768E-2</v>
      </c>
      <c r="M35" s="2">
        <v>8.8098686574232851E-2</v>
      </c>
    </row>
    <row r="36" spans="1:13" ht="14.5" customHeight="1" x14ac:dyDescent="0.25">
      <c r="A36" s="1" t="s">
        <v>17</v>
      </c>
      <c r="B36" s="3">
        <f t="shared" ref="B36:L36" si="7">B23/B26</f>
        <v>0.17970468111844173</v>
      </c>
      <c r="C36" s="3">
        <f t="shared" si="7"/>
        <v>0.11098380690498014</v>
      </c>
      <c r="D36" s="3">
        <f t="shared" si="7"/>
        <v>0.14833735835036224</v>
      </c>
      <c r="E36" s="3">
        <f t="shared" si="7"/>
        <v>9.2870544090056281E-2</v>
      </c>
      <c r="F36" s="3">
        <f t="shared" si="7"/>
        <v>0.33541449071418694</v>
      </c>
      <c r="G36" s="3">
        <f t="shared" si="7"/>
        <v>0.17348259392840484</v>
      </c>
      <c r="H36" s="3">
        <f t="shared" si="7"/>
        <v>0.23013641635987694</v>
      </c>
      <c r="I36" s="3">
        <f t="shared" si="7"/>
        <v>0.28575478384124736</v>
      </c>
      <c r="J36" s="3">
        <f t="shared" si="7"/>
        <v>0.32158327424371136</v>
      </c>
      <c r="K36" s="3">
        <f t="shared" si="7"/>
        <v>0.42112006564941046</v>
      </c>
      <c r="L36" s="3">
        <f t="shared" si="7"/>
        <v>0.31592322418087621</v>
      </c>
      <c r="M36" s="2">
        <v>0.29516100387046201</v>
      </c>
    </row>
    <row r="37" spans="1:13" ht="14.5" customHeight="1" x14ac:dyDescent="0.25">
      <c r="A37" s="1" t="s">
        <v>18</v>
      </c>
      <c r="B37" s="3">
        <f t="shared" ref="B37:L37" si="8">B24/B26</f>
        <v>0.50078542255733582</v>
      </c>
      <c r="C37" s="3">
        <f t="shared" si="8"/>
        <v>0.57095936449740303</v>
      </c>
      <c r="D37" s="3">
        <f t="shared" si="8"/>
        <v>0.17991826119264351</v>
      </c>
      <c r="E37" s="3">
        <f t="shared" si="8"/>
        <v>0.54998659876708655</v>
      </c>
      <c r="F37" s="3">
        <f t="shared" si="8"/>
        <v>5.752454063732422E-2</v>
      </c>
      <c r="G37" s="3">
        <f t="shared" si="8"/>
        <v>6.1757228167681665E-2</v>
      </c>
      <c r="H37" s="3">
        <f t="shared" si="8"/>
        <v>0.16565384033486308</v>
      </c>
      <c r="I37" s="3">
        <f t="shared" si="8"/>
        <v>0.35985116938341599</v>
      </c>
      <c r="J37" s="3">
        <f t="shared" si="8"/>
        <v>9.9024845723432481E-2</v>
      </c>
      <c r="K37" s="3">
        <f t="shared" si="8"/>
        <v>4.1133458748480699E-2</v>
      </c>
      <c r="L37" s="3">
        <f t="shared" si="8"/>
        <v>8.866465383546826E-2</v>
      </c>
      <c r="M37" s="2">
        <v>7.9554478385837707E-2</v>
      </c>
    </row>
    <row r="38" spans="1:13" ht="14.5" customHeight="1" x14ac:dyDescent="0.25">
      <c r="A38" s="1" t="s">
        <v>19</v>
      </c>
      <c r="B38" s="3">
        <f t="shared" ref="B38:L38" si="9">B25/B26</f>
        <v>0</v>
      </c>
      <c r="C38" s="3">
        <f t="shared" si="9"/>
        <v>6.1106018942865871E-4</v>
      </c>
      <c r="D38" s="3">
        <f t="shared" si="9"/>
        <v>5.8889095300018575E-2</v>
      </c>
      <c r="E38" s="3">
        <f t="shared" si="9"/>
        <v>1.3401232913428035E-4</v>
      </c>
      <c r="F38" s="3">
        <f t="shared" si="9"/>
        <v>2.7637733514208314E-3</v>
      </c>
      <c r="G38" s="3">
        <f t="shared" si="9"/>
        <v>4.138828120380772E-3</v>
      </c>
      <c r="H38" s="3">
        <f t="shared" si="9"/>
        <v>8.0689898633314841E-4</v>
      </c>
      <c r="I38" s="3">
        <f t="shared" si="9"/>
        <v>9.9220411055988655E-4</v>
      </c>
      <c r="J38" s="3">
        <f t="shared" si="9"/>
        <v>6.1640421513770808E-3</v>
      </c>
      <c r="K38" s="3">
        <f t="shared" si="9"/>
        <v>1.9199355892576507E-3</v>
      </c>
      <c r="L38" s="3">
        <f t="shared" si="9"/>
        <v>5.3163083362757178E-3</v>
      </c>
      <c r="M38" s="2">
        <v>4.0791934087828462E-3</v>
      </c>
    </row>
    <row r="41" spans="1:13" ht="14.5" customHeight="1" x14ac:dyDescent="0.25">
      <c r="A41" s="1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  <c r="K41" s="2" t="s">
        <v>10</v>
      </c>
      <c r="L41" s="2" t="s">
        <v>11</v>
      </c>
      <c r="M41" s="2" t="s">
        <v>20</v>
      </c>
    </row>
    <row r="42" spans="1:13" ht="14.5" customHeight="1" x14ac:dyDescent="0.25">
      <c r="A42" s="4" t="s">
        <v>12</v>
      </c>
      <c r="B42" s="5">
        <f>B31*100</f>
        <v>0.70688030160226201</v>
      </c>
      <c r="C42" s="5">
        <f t="shared" ref="C42:L42" si="10">C31*100</f>
        <v>0.76382523678582337</v>
      </c>
      <c r="D42" s="5">
        <f t="shared" si="10"/>
        <v>8.006687720601894</v>
      </c>
      <c r="E42" s="5">
        <f t="shared" si="10"/>
        <v>5.5347091932457788</v>
      </c>
      <c r="F42" s="5">
        <f t="shared" si="10"/>
        <v>5.0050443312530879</v>
      </c>
      <c r="G42" s="5">
        <f t="shared" si="10"/>
        <v>1.6031936862067533</v>
      </c>
      <c r="H42" s="5">
        <f t="shared" si="10"/>
        <v>2.1893438902617377</v>
      </c>
      <c r="I42" s="5">
        <f t="shared" si="10"/>
        <v>5.2338766832034018</v>
      </c>
      <c r="J42" s="5">
        <f t="shared" si="10"/>
        <v>6.845386446127816</v>
      </c>
      <c r="K42" s="5">
        <f>K31*100</f>
        <v>3.2129889835953893</v>
      </c>
      <c r="L42" s="5">
        <f t="shared" si="10"/>
        <v>0.3958407893757101</v>
      </c>
      <c r="M42" s="2">
        <f>M31*100</f>
        <v>2.5165403050642627</v>
      </c>
    </row>
    <row r="43" spans="1:13" ht="14.5" customHeight="1" x14ac:dyDescent="0.25">
      <c r="A43" s="4" t="s">
        <v>13</v>
      </c>
      <c r="B43" s="5">
        <f t="shared" ref="B43:M47" si="11">B32*100</f>
        <v>1.5708451146716932E-2</v>
      </c>
      <c r="C43" s="5">
        <f t="shared" si="11"/>
        <v>9.1659028414298807E-2</v>
      </c>
      <c r="D43" s="5">
        <f t="shared" si="11"/>
        <v>0.62232955600966</v>
      </c>
      <c r="E43" s="5">
        <f t="shared" si="11"/>
        <v>0</v>
      </c>
      <c r="F43" s="5">
        <f t="shared" si="11"/>
        <v>1.4099487627357386E-2</v>
      </c>
      <c r="G43" s="5">
        <f t="shared" si="11"/>
        <v>3.613262644776865E-2</v>
      </c>
      <c r="H43" s="5">
        <f t="shared" si="11"/>
        <v>3.0258711987493067E-2</v>
      </c>
      <c r="I43" s="5">
        <f t="shared" si="11"/>
        <v>1.4174344436569808E-2</v>
      </c>
      <c r="J43" s="5">
        <f t="shared" si="11"/>
        <v>4.3527404713596701E-2</v>
      </c>
      <c r="K43" s="5">
        <f t="shared" si="11"/>
        <v>7.1610500809005124E-3</v>
      </c>
      <c r="L43" s="5">
        <f t="shared" si="11"/>
        <v>1.1369213610710119E-2</v>
      </c>
      <c r="M43" s="2">
        <f t="shared" si="11"/>
        <v>2.2149004621690917E-2</v>
      </c>
    </row>
    <row r="44" spans="1:13" ht="14.5" customHeight="1" x14ac:dyDescent="0.25">
      <c r="A44" s="4" t="s">
        <v>14</v>
      </c>
      <c r="B44" s="5">
        <f t="shared" si="11"/>
        <v>0.15708451146716934</v>
      </c>
      <c r="C44" s="5">
        <f t="shared" si="11"/>
        <v>1.665139016193095</v>
      </c>
      <c r="D44" s="5">
        <f t="shared" si="11"/>
        <v>30.113319710198773</v>
      </c>
      <c r="E44" s="5">
        <f t="shared" si="11"/>
        <v>1.7823639774859286</v>
      </c>
      <c r="F44" s="5">
        <f t="shared" si="11"/>
        <v>3.6461548780804987</v>
      </c>
      <c r="G44" s="5">
        <f t="shared" si="11"/>
        <v>1.9895938035830427</v>
      </c>
      <c r="H44" s="5">
        <f t="shared" si="11"/>
        <v>2.2189722124161584</v>
      </c>
      <c r="I44" s="5">
        <f t="shared" si="11"/>
        <v>2.0978029766123316</v>
      </c>
      <c r="J44" s="5">
        <f t="shared" si="11"/>
        <v>2.2911562142390776</v>
      </c>
      <c r="K44" s="5">
        <f t="shared" si="11"/>
        <v>2.6507497812976597</v>
      </c>
      <c r="L44" s="5">
        <f t="shared" si="11"/>
        <v>0.38791436580204602</v>
      </c>
      <c r="M44" s="2">
        <f t="shared" si="11"/>
        <v>1.9798862541440074</v>
      </c>
    </row>
    <row r="45" spans="1:13" ht="14.5" customHeight="1" x14ac:dyDescent="0.25">
      <c r="A45" s="4" t="s">
        <v>15</v>
      </c>
      <c r="B45" s="5">
        <f t="shared" si="11"/>
        <v>1.3509267986176563</v>
      </c>
      <c r="C45" s="5">
        <f t="shared" si="11"/>
        <v>8.9749465322334245</v>
      </c>
      <c r="D45" s="5">
        <f t="shared" si="11"/>
        <v>5.2572914731562319</v>
      </c>
      <c r="E45" s="5">
        <f t="shared" si="11"/>
        <v>2.5462342535513267</v>
      </c>
      <c r="F45" s="5">
        <f t="shared" si="11"/>
        <v>34.657498805650199</v>
      </c>
      <c r="G45" s="5">
        <f t="shared" si="11"/>
        <v>67.242489340875196</v>
      </c>
      <c r="H45" s="5">
        <f t="shared" si="11"/>
        <v>22.395229209743306</v>
      </c>
      <c r="I45" s="5">
        <f t="shared" si="11"/>
        <v>6.2154500354358611</v>
      </c>
      <c r="J45" s="5">
        <f t="shared" si="11"/>
        <v>36.204620925448786</v>
      </c>
      <c r="K45" s="5">
        <f t="shared" si="11"/>
        <v>39.067592571087943</v>
      </c>
      <c r="L45" s="5">
        <f t="shared" si="11"/>
        <v>56.086972882824234</v>
      </c>
      <c r="M45" s="2">
        <f t="shared" si="11"/>
        <v>48.792088212238497</v>
      </c>
    </row>
    <row r="46" spans="1:13" ht="14.5" customHeight="1" x14ac:dyDescent="0.25">
      <c r="A46" s="4" t="s">
        <v>16</v>
      </c>
      <c r="B46" s="5">
        <f t="shared" si="11"/>
        <v>29.720389569588441</v>
      </c>
      <c r="C46" s="5">
        <f t="shared" si="11"/>
        <v>20.249007027192178</v>
      </c>
      <c r="D46" s="5">
        <f t="shared" si="11"/>
        <v>17.285900055731005</v>
      </c>
      <c r="E46" s="5">
        <f t="shared" si="11"/>
        <v>25.837577057089252</v>
      </c>
      <c r="F46" s="5">
        <f t="shared" si="11"/>
        <v>17.106922027095656</v>
      </c>
      <c r="G46" s="5">
        <f t="shared" si="11"/>
        <v>5.1907255212405099</v>
      </c>
      <c r="H46" s="5">
        <f t="shared" si="11"/>
        <v>33.506480407483991</v>
      </c>
      <c r="I46" s="5">
        <f t="shared" si="11"/>
        <v>21.778880226789511</v>
      </c>
      <c r="J46" s="5">
        <f t="shared" si="11"/>
        <v>11.93809279761863</v>
      </c>
      <c r="K46" s="5">
        <f t="shared" si="11"/>
        <v>8.644161615223231</v>
      </c>
      <c r="L46" s="5">
        <f t="shared" si="11"/>
        <v>2.1274841131252766</v>
      </c>
      <c r="M46" s="2">
        <f t="shared" si="11"/>
        <v>8.8098686574232854</v>
      </c>
    </row>
    <row r="47" spans="1:13" ht="14.5" customHeight="1" x14ac:dyDescent="0.25">
      <c r="A47" s="4" t="s">
        <v>17</v>
      </c>
      <c r="B47" s="5">
        <f t="shared" si="11"/>
        <v>17.970468111844173</v>
      </c>
      <c r="C47" s="5">
        <f t="shared" si="11"/>
        <v>11.098380690498013</v>
      </c>
      <c r="D47" s="5">
        <f t="shared" si="11"/>
        <v>14.833735835036224</v>
      </c>
      <c r="E47" s="5">
        <f t="shared" si="11"/>
        <v>9.2870544090056288</v>
      </c>
      <c r="F47" s="5">
        <f t="shared" si="11"/>
        <v>33.541449071418697</v>
      </c>
      <c r="G47" s="5">
        <f t="shared" si="11"/>
        <v>17.348259392840486</v>
      </c>
      <c r="H47" s="5">
        <f t="shared" si="11"/>
        <v>23.013641635987696</v>
      </c>
      <c r="I47" s="5">
        <f t="shared" si="11"/>
        <v>28.575478384124736</v>
      </c>
      <c r="J47" s="5">
        <f t="shared" si="11"/>
        <v>32.158327424371137</v>
      </c>
      <c r="K47" s="5">
        <f t="shared" si="11"/>
        <v>42.112006564941048</v>
      </c>
      <c r="L47" s="5">
        <f t="shared" si="11"/>
        <v>31.592322418087619</v>
      </c>
      <c r="M47" s="2">
        <f t="shared" si="11"/>
        <v>29.516100387046201</v>
      </c>
    </row>
    <row r="48" spans="1:13" ht="14.5" customHeight="1" x14ac:dyDescent="0.25">
      <c r="A48" s="4" t="s">
        <v>19</v>
      </c>
      <c r="B48" s="5">
        <f>B38*100</f>
        <v>0</v>
      </c>
      <c r="C48" s="5">
        <f>C38*100</f>
        <v>6.1106018942865874E-2</v>
      </c>
      <c r="D48" s="5">
        <f>D38*100</f>
        <v>5.8889095300018575</v>
      </c>
      <c r="E48" s="5">
        <f>E38*100</f>
        <v>1.3401232913428035E-2</v>
      </c>
      <c r="F48" s="5">
        <f>F38*100</f>
        <v>0.27637733514208312</v>
      </c>
      <c r="G48" s="5">
        <f>G38*100</f>
        <v>0.4138828120380772</v>
      </c>
      <c r="H48" s="5">
        <f>H38*100</f>
        <v>8.0689898633314841E-2</v>
      </c>
      <c r="I48" s="5">
        <f>I38*100</f>
        <v>9.9220411055988653E-2</v>
      </c>
      <c r="J48" s="5">
        <f>J38*100</f>
        <v>0.61640421513770804</v>
      </c>
      <c r="K48" s="5">
        <f>K38*100</f>
        <v>0.19199355892576508</v>
      </c>
      <c r="L48" s="5">
        <f>L38*100</f>
        <v>0.5316308336275718</v>
      </c>
      <c r="M48" s="2">
        <f>M38*100</f>
        <v>0.40791934087828463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fan</cp:lastModifiedBy>
  <dcterms:created xsi:type="dcterms:W3CDTF">2025-08-31T08:03:24Z</dcterms:created>
  <dcterms:modified xsi:type="dcterms:W3CDTF">2025-10-10T07:23:12Z</dcterms:modified>
</cp:coreProperties>
</file>